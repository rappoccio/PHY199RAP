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deral 6.52%" sheetId="1" state="visible" r:id="rId3"/>
    <sheet name="Prior rate 9.84%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<sst xmlns="http://schemas.openxmlformats.org/spreadsheetml/2006/main" count="58" uniqueCount="29">
  <si>
    <t xml:space="preserve">PHY199 — Student-loan pay-vs-defer model</t>
  </si>
  <si>
    <t xml:space="preserve">Two ways to handle interest while enrolled: pay it monthly, or defer everything and let it capitalize.</t>
  </si>
  <si>
    <t xml:space="preserve">Assumptions</t>
  </si>
  <si>
    <t xml:space="preserve">Annual interest rate</t>
  </si>
  <si>
    <t xml:space="preserve">Repayment term (years, after graduation)</t>
  </si>
  <si>
    <t xml:space="preserve">Years in college (annual disbursements)</t>
  </si>
  <si>
    <t xml:space="preserve">Monthly rate = annual / 12</t>
  </si>
  <si>
    <t xml:space="preserve">Cost level</t>
  </si>
  <si>
    <t xml:space="preserve">Annual cost
(borrowed/yr)</t>
  </si>
  <si>
    <t xml:space="preserve">Principal
(4 yrs)</t>
  </si>
  <si>
    <t xml:space="preserve">In-school interest
(pay monthly)</t>
  </si>
  <si>
    <t xml:space="preserve">Balance at grad
(full deferral)</t>
  </si>
  <si>
    <t xml:space="preserve">Capitalized
interest</t>
  </si>
  <si>
    <t xml:space="preserve">Monthly pmt
(pay case)</t>
  </si>
  <si>
    <t xml:space="preserve">Monthly pmt
(defer case)</t>
  </si>
  <si>
    <t xml:space="preserve">Lifetime interest
A: pay monthly</t>
  </si>
  <si>
    <t xml:space="preserve">Lifetime interest
B: full deferral</t>
  </si>
  <si>
    <t xml:space="preserve">Extra cost of
deferring</t>
  </si>
  <si>
    <t xml:space="preserve">Total repaid 10yr
(pay in school)</t>
  </si>
  <si>
    <t xml:space="preserve">Total repaid 10yr
(full deferral)</t>
  </si>
  <si>
    <t xml:space="preserve">UB in-state — tuition + fees</t>
  </si>
  <si>
    <t xml:space="preserve">UB in-state — tuition + fees + room &amp; board</t>
  </si>
  <si>
    <t xml:space="preserve">UB out-of-state — tuition + fees + room &amp; board</t>
  </si>
  <si>
    <t xml:space="preserve">Hypothetical private — $75k + $25k</t>
  </si>
  <si>
    <t xml:space="preserve">• Model: borrow one year's cost at the start of each of 4 years; graduation at month 48; monthly rate = annual/12 (simple), matching the prior StudentLoan analysis.</t>
  </si>
  <si>
    <t xml:space="preserve">• Scenario A (pay monthly): pay accruing interest each month so principal stays flat; Scenario B (full deferral): no payments in school, interest capitalizes monthly.</t>
  </si>
  <si>
    <t xml:space="preserve">• Pay-vs-defer only differs for UNSUBSIDIZED loans (subsidized don't accrue in school). Above federal caps (~$5.5-7.5k/yr) the balance is PLUS/private, which is why higher rates are realistic.</t>
  </si>
  <si>
    <t xml:space="preserve">• UB cost levels INCLUDE mandatory fees ($3,966/yr); they exclude personal/other (~$6,888/yr). Yellow cells are editable inputs.</t>
  </si>
  <si>
    <t xml:space="preserve">• Sources: UB Undergraduate Tuition &amp; Estimated Costs 2026-27, buffalo.edu/admissions/costs/tuition.html; Federal Direct Loan rates 2026-27 (undergrad 6.52%, PLUS 9.07%), fsapartners.ed.gov.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</si>
</sst>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0.0000%"/>
    <numFmt numFmtId="167" formatCode="\$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5BBB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005BBB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5BB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5" min="4" style="0" width="15"/>
    <col collapsed="false" customWidth="true" hidden="false" outlineLevel="0" max="8" min="6" style="0" width="12"/>
    <col collapsed="false" customWidth="true" hidden="false" outlineLevel="0" max="10" min="9" style="0" width="16"/>
    <col collapsed="false" customWidth="true" hidden="false" outlineLevel="0" max="11" min="11" style="0" width="13"/>
    <col collapsed="false" customWidth="true" hidden="false" outlineLevel="0" max="13" min="12" style="0" width="1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0.0652</v>
      </c>
    </row>
    <row r="6" customFormat="false" ht="15" hidden="false" customHeight="false" outlineLevel="0" collapsed="false">
      <c r="A6" s="4" t="s">
        <v>4</v>
      </c>
      <c r="B6" s="6" t="n">
        <v>10</v>
      </c>
    </row>
    <row r="7" customFormat="false" ht="15" hidden="false" customHeight="false" outlineLevel="0" collapsed="false">
      <c r="A7" s="4" t="s">
        <v>5</v>
      </c>
      <c r="B7" s="6" t="n">
        <v>4</v>
      </c>
    </row>
    <row r="8" customFormat="false" ht="15" hidden="false" customHeight="false" outlineLevel="0" collapsed="false">
      <c r="A8" s="4" t="s">
        <v>6</v>
      </c>
      <c r="B8" s="7" t="n">
        <f aca="false">B5/12</f>
        <v>0.00543333333333333</v>
      </c>
    </row>
    <row r="10" customFormat="false" ht="42" hidden="false" customHeight="true" outlineLevel="0" collapsed="false">
      <c r="A10" s="8" t="s">
        <v>7</v>
      </c>
      <c r="B10" s="8" t="s">
        <v>8</v>
      </c>
      <c r="C10" s="8" t="s">
        <v>9</v>
      </c>
      <c r="D10" s="8" t="s">
        <v>10</v>
      </c>
      <c r="E10" s="8" t="s">
        <v>11</v>
      </c>
      <c r="F10" s="8" t="s">
        <v>12</v>
      </c>
      <c r="G10" s="8" t="s">
        <v>13</v>
      </c>
      <c r="H10" s="8" t="s">
        <v>14</v>
      </c>
      <c r="I10" s="8" t="s">
        <v>15</v>
      </c>
      <c r="J10" s="8" t="s">
        <v>16</v>
      </c>
      <c r="K10" s="8" t="s">
        <v>17</v>
      </c>
      <c r="L10" s="8" t="s">
        <v>18</v>
      </c>
      <c r="M10" s="8" t="s">
        <v>19</v>
      </c>
    </row>
    <row r="11" customFormat="false" ht="15" hidden="false" customHeight="false" outlineLevel="0" collapsed="false">
      <c r="A11" s="4" t="s">
        <v>20</v>
      </c>
      <c r="B11" s="9" t="n">
        <v>11036</v>
      </c>
      <c r="C11" s="10" t="n">
        <f aca="false">B11*$B$7</f>
        <v>44144</v>
      </c>
      <c r="D11" s="10" t="n">
        <f aca="false">$B$5*B11*($B$7*($B$7+1)/2)</f>
        <v>7195.472</v>
      </c>
      <c r="E11" s="10" t="n">
        <f aca="false">B11*((1+$B$8)^(12*$B$7)+(1+$B$8)^(12*($B$7-1))+(1+$B$8)^(12*($B$7-2))+(1+$B$8)^(12*($B$7-3)))</f>
        <v>52073.5297220239</v>
      </c>
      <c r="F11" s="10" t="n">
        <f aca="false">E11-C11</f>
        <v>7929.52972202386</v>
      </c>
      <c r="G11" s="10" t="n">
        <f aca="false">C11*($B$8*(1+$B$8)^($B$6*12))/((1+$B$8)^($B$6*12)-1)</f>
        <v>501.695521426513</v>
      </c>
      <c r="H11" s="10" t="n">
        <f aca="false">E11*($B$8*(1+$B$8)^($B$6*12))/((1+$B$8)^($B$6*12)-1)</f>
        <v>591.8144401597</v>
      </c>
      <c r="I11" s="10" t="n">
        <f aca="false">D11+(G11*$B$6*12-C11)</f>
        <v>23254.9345711816</v>
      </c>
      <c r="J11" s="10" t="n">
        <f aca="false">H11*$B$6*12-C11</f>
        <v>26873.732819164</v>
      </c>
      <c r="K11" s="10" t="n">
        <f aca="false">J11-I11</f>
        <v>3618.79824798241</v>
      </c>
      <c r="L11" s="10" t="n">
        <f aca="false">G11*$B$6*12</f>
        <v>60203.4625711816</v>
      </c>
      <c r="M11" s="10" t="n">
        <f aca="false">H11*$B$6*12</f>
        <v>71017.732819164</v>
      </c>
    </row>
    <row r="12" customFormat="false" ht="15" hidden="false" customHeight="false" outlineLevel="0" collapsed="false">
      <c r="A12" s="4" t="s">
        <v>21</v>
      </c>
      <c r="B12" s="9" t="n">
        <v>29642</v>
      </c>
      <c r="C12" s="10" t="n">
        <f aca="false">B12*$B$7</f>
        <v>118568</v>
      </c>
      <c r="D12" s="10" t="n">
        <f aca="false">$B$5*B12*($B$7*($B$7+1)/2)</f>
        <v>19326.584</v>
      </c>
      <c r="E12" s="10" t="n">
        <f aca="false">B12*((1+$B$8)^(12*$B$7)+(1+$B$8)^(12*($B$7-1))+(1+$B$8)^(12*($B$7-2))+(1+$B$8)^(12*($B$7-3)))</f>
        <v>139866.216747031</v>
      </c>
      <c r="F12" s="10" t="n">
        <f aca="false">E12-C12</f>
        <v>21298.2167470307</v>
      </c>
      <c r="G12" s="10" t="n">
        <f aca="false">C12*($B$8*(1+$B$8)^($B$6*12))/((1+$B$8)^($B$6*12)-1)</f>
        <v>1347.52253045711</v>
      </c>
      <c r="H12" s="10" t="n">
        <f aca="false">E12*($B$8*(1+$B$8)^($B$6*12))/((1+$B$8)^($B$6*12)-1)</f>
        <v>1589.57626270513</v>
      </c>
      <c r="I12" s="10" t="n">
        <f aca="false">D12+(G12*$B$6*12-C12)</f>
        <v>62461.2876548536</v>
      </c>
      <c r="J12" s="10" t="n">
        <f aca="false">H12*$B$6*12-C12</f>
        <v>72181.1515246157</v>
      </c>
      <c r="K12" s="10" t="n">
        <f aca="false">J12-I12</f>
        <v>9719.86386976208</v>
      </c>
      <c r="L12" s="10" t="n">
        <f aca="false">G12*$B$6*12</f>
        <v>161702.703654854</v>
      </c>
      <c r="M12" s="10" t="n">
        <f aca="false">H12*$B$6*12</f>
        <v>190749.151524616</v>
      </c>
    </row>
    <row r="13" customFormat="false" ht="15" hidden="false" customHeight="false" outlineLevel="0" collapsed="false">
      <c r="A13" s="4" t="s">
        <v>22</v>
      </c>
      <c r="B13" s="9" t="n">
        <v>51642</v>
      </c>
      <c r="C13" s="10" t="n">
        <f aca="false">B13*$B$7</f>
        <v>206568</v>
      </c>
      <c r="D13" s="10" t="n">
        <f aca="false">$B$5*B13*($B$7*($B$7+1)/2)</f>
        <v>33670.584</v>
      </c>
      <c r="E13" s="10" t="n">
        <f aca="false">B13*((1+$B$8)^(12*$B$7)+(1+$B$8)^(12*($B$7-1))+(1+$B$8)^(12*($B$7-2))+(1+$B$8)^(12*($B$7-3)))</f>
        <v>243673.543122939</v>
      </c>
      <c r="F13" s="10" t="n">
        <f aca="false">E13-C13</f>
        <v>37105.5431229391</v>
      </c>
      <c r="G13" s="10" t="n">
        <f aca="false">C13*($B$8*(1+$B$8)^($B$6*12))/((1+$B$8)^($B$6*12)-1)</f>
        <v>2347.6404600859</v>
      </c>
      <c r="H13" s="10" t="n">
        <f aca="false">E13*($B$8*(1+$B$8)^($B$6*12))/((1+$B$8)^($B$6*12)-1)</f>
        <v>2769.34408469801</v>
      </c>
      <c r="I13" s="10" t="n">
        <f aca="false">D13+(G13*$B$6*12-C13)</f>
        <v>108819.439210308</v>
      </c>
      <c r="J13" s="10" t="n">
        <f aca="false">H13*$B$6*12-C13</f>
        <v>125753.290163761</v>
      </c>
      <c r="K13" s="10" t="n">
        <f aca="false">J13-I13</f>
        <v>16933.850953453</v>
      </c>
      <c r="L13" s="10" t="n">
        <f aca="false">G13*$B$6*12</f>
        <v>281716.855210308</v>
      </c>
      <c r="M13" s="10" t="n">
        <f aca="false">H13*$B$6*12</f>
        <v>332321.290163761</v>
      </c>
    </row>
    <row r="14" customFormat="false" ht="15" hidden="false" customHeight="false" outlineLevel="0" collapsed="false">
      <c r="A14" s="4" t="s">
        <v>23</v>
      </c>
      <c r="B14" s="9" t="n">
        <v>100000</v>
      </c>
      <c r="C14" s="10" t="n">
        <f aca="false">B14*$B$7</f>
        <v>400000</v>
      </c>
      <c r="D14" s="10" t="n">
        <f aca="false">$B$5*B14*($B$7*($B$7+1)/2)</f>
        <v>65200</v>
      </c>
      <c r="E14" s="10" t="n">
        <f aca="false">B14*((1+$B$8)^(12*$B$7)+(1+$B$8)^(12*($B$7-1))+(1+$B$8)^(12*($B$7-2))+(1+$B$8)^(12*($B$7-3)))</f>
        <v>471851.483526856</v>
      </c>
      <c r="F14" s="10" t="n">
        <f aca="false">E14-C14</f>
        <v>71851.4835268563</v>
      </c>
      <c r="G14" s="10" t="n">
        <f aca="false">C14*($B$8*(1+$B$8)^($B$6*12))/((1+$B$8)^($B$6*12)-1)</f>
        <v>4545.99058922176</v>
      </c>
      <c r="H14" s="10" t="n">
        <f aca="false">E14*($B$8*(1+$B$8)^($B$6*12))/((1+$B$8)^($B$6*12)-1)</f>
        <v>5362.58100905854</v>
      </c>
      <c r="I14" s="10" t="n">
        <f aca="false">D14+(G14*$B$6*12-C14)</f>
        <v>210718.870706611</v>
      </c>
      <c r="J14" s="10" t="n">
        <f aca="false">H14*$B$6*12-C14</f>
        <v>243509.721087024</v>
      </c>
      <c r="K14" s="10" t="n">
        <f aca="false">J14-I14</f>
        <v>32790.8503804135</v>
      </c>
      <c r="L14" s="10" t="n">
        <f aca="false">G14*$B$6*12</f>
        <v>545518.870706611</v>
      </c>
      <c r="M14" s="10" t="n">
        <f aca="false">H14*$B$6*12</f>
        <v>643509.721087024</v>
      </c>
    </row>
    <row r="16" customFormat="false" ht="15" hidden="false" customHeight="false" outlineLevel="0" collapsed="false">
      <c r="A16" s="11" t="s">
        <v>24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customFormat="false" ht="15" hidden="false" customHeight="false" outlineLevel="0" collapsed="false">
      <c r="A17" s="11" t="s">
        <v>25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customFormat="false" ht="15" hidden="false" customHeight="false" outlineLevel="0" collapsed="false">
      <c r="A18" s="11" t="s">
        <v>26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customFormat="false" ht="15" hidden="false" customHeight="false" outlineLevel="0" collapsed="false">
      <c r="A19" s="11" t="s">
        <v>27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customFormat="false" ht="15" hidden="false" customHeight="false" outlineLevel="0" collapsed="false">
      <c r="A20" s="11" t="s">
        <v>28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</row>
  </sheetData>
  <mergeCells count="5">
    <mergeCell ref="A16:K16"/>
    <mergeCell ref="A17:K17"/>
    <mergeCell ref="A18:K18"/>
    <mergeCell ref="A19:K19"/>
    <mergeCell ref="A20:K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5" min="4" style="0" width="15"/>
    <col collapsed="false" customWidth="true" hidden="false" outlineLevel="0" max="8" min="6" style="0" width="12"/>
    <col collapsed="false" customWidth="true" hidden="false" outlineLevel="0" max="10" min="9" style="0" width="16"/>
    <col collapsed="false" customWidth="true" hidden="false" outlineLevel="0" max="11" min="11" style="0" width="13"/>
    <col collapsed="false" customWidth="true" hidden="false" outlineLevel="0" max="13" min="12" style="0" width="1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0.0984</v>
      </c>
    </row>
    <row r="6" customFormat="false" ht="15" hidden="false" customHeight="false" outlineLevel="0" collapsed="false">
      <c r="A6" s="4" t="s">
        <v>4</v>
      </c>
      <c r="B6" s="6" t="n">
        <v>10</v>
      </c>
    </row>
    <row r="7" customFormat="false" ht="15" hidden="false" customHeight="false" outlineLevel="0" collapsed="false">
      <c r="A7" s="4" t="s">
        <v>5</v>
      </c>
      <c r="B7" s="6" t="n">
        <v>4</v>
      </c>
    </row>
    <row r="8" customFormat="false" ht="15" hidden="false" customHeight="false" outlineLevel="0" collapsed="false">
      <c r="A8" s="4" t="s">
        <v>6</v>
      </c>
      <c r="B8" s="7" t="n">
        <f aca="false">B5/12</f>
        <v>0.0082</v>
      </c>
    </row>
    <row r="10" customFormat="false" ht="42" hidden="false" customHeight="true" outlineLevel="0" collapsed="false">
      <c r="A10" s="8" t="s">
        <v>7</v>
      </c>
      <c r="B10" s="8" t="s">
        <v>8</v>
      </c>
      <c r="C10" s="8" t="s">
        <v>9</v>
      </c>
      <c r="D10" s="8" t="s">
        <v>10</v>
      </c>
      <c r="E10" s="8" t="s">
        <v>11</v>
      </c>
      <c r="F10" s="8" t="s">
        <v>12</v>
      </c>
      <c r="G10" s="8" t="s">
        <v>13</v>
      </c>
      <c r="H10" s="8" t="s">
        <v>14</v>
      </c>
      <c r="I10" s="8" t="s">
        <v>15</v>
      </c>
      <c r="J10" s="8" t="s">
        <v>16</v>
      </c>
      <c r="K10" s="8" t="s">
        <v>17</v>
      </c>
      <c r="L10" s="8" t="s">
        <v>18</v>
      </c>
      <c r="M10" s="8" t="s">
        <v>19</v>
      </c>
    </row>
    <row r="11" customFormat="false" ht="15" hidden="false" customHeight="false" outlineLevel="0" collapsed="false">
      <c r="A11" s="4" t="s">
        <v>20</v>
      </c>
      <c r="B11" s="9" t="n">
        <v>11036</v>
      </c>
      <c r="C11" s="10" t="n">
        <f aca="false">B11*$B$7</f>
        <v>44144</v>
      </c>
      <c r="D11" s="10" t="n">
        <f aca="false">$B$5*B11*($B$7*($B$7+1)/2)</f>
        <v>10859.424</v>
      </c>
      <c r="E11" s="10" t="n">
        <f aca="false">B11*((1+$B$8)^(12*$B$7)+(1+$B$8)^(12*($B$7-1))+(1+$B$8)^(12*($B$7-2))+(1+$B$8)^(12*($B$7-3)))</f>
        <v>56738.2222930186</v>
      </c>
      <c r="F11" s="10" t="n">
        <f aca="false">E11-C11</f>
        <v>12594.2222930186</v>
      </c>
      <c r="G11" s="10" t="n">
        <f aca="false">C11*($B$8*(1+$B$8)^($B$6*12))/((1+$B$8)^($B$6*12)-1)</f>
        <v>579.462054617398</v>
      </c>
      <c r="H11" s="10" t="n">
        <f aca="false">E11*($B$8*(1+$B$8)^($B$6*12))/((1+$B$8)^($B$6*12)-1)</f>
        <v>744.781779296195</v>
      </c>
      <c r="I11" s="10" t="n">
        <f aca="false">D11+(G11*$B$6*12-C11)</f>
        <v>36250.8705540878</v>
      </c>
      <c r="J11" s="10" t="n">
        <f aca="false">H11*$B$6*12-C11</f>
        <v>45229.8135155434</v>
      </c>
      <c r="K11" s="10" t="n">
        <f aca="false">J11-I11</f>
        <v>8978.94296145564</v>
      </c>
      <c r="L11" s="10" t="n">
        <f aca="false">G11*$B$6*12</f>
        <v>69535.4465540878</v>
      </c>
      <c r="M11" s="10" t="n">
        <f aca="false">H11*$B$6*12</f>
        <v>89373.8135155434</v>
      </c>
    </row>
    <row r="12" customFormat="false" ht="15" hidden="false" customHeight="false" outlineLevel="0" collapsed="false">
      <c r="A12" s="4" t="s">
        <v>21</v>
      </c>
      <c r="B12" s="9" t="n">
        <v>29642</v>
      </c>
      <c r="C12" s="10" t="n">
        <f aca="false">B12*$B$7</f>
        <v>118568</v>
      </c>
      <c r="D12" s="10" t="n">
        <f aca="false">$B$5*B12*($B$7*($B$7+1)/2)</f>
        <v>29167.728</v>
      </c>
      <c r="E12" s="10" t="n">
        <f aca="false">B12*((1+$B$8)^(12*$B$7)+(1+$B$8)^(12*($B$7-1))+(1+$B$8)^(12*($B$7-2))+(1+$B$8)^(12*($B$7-3)))</f>
        <v>152395.286807689</v>
      </c>
      <c r="F12" s="10" t="n">
        <f aca="false">E12-C12</f>
        <v>33827.2868076892</v>
      </c>
      <c r="G12" s="10" t="n">
        <f aca="false">C12*($B$8*(1+$B$8)^($B$6*12))/((1+$B$8)^($B$6*12)-1)</f>
        <v>1556.39853415811</v>
      </c>
      <c r="H12" s="10" t="n">
        <f aca="false">E12*($B$8*(1+$B$8)^($B$6*12))/((1+$B$8)^($B$6*12)-1)</f>
        <v>2000.43688853732</v>
      </c>
      <c r="I12" s="10" t="n">
        <f aca="false">D12+(G12*$B$6*12-C12)</f>
        <v>97367.5520989734</v>
      </c>
      <c r="J12" s="10" t="n">
        <f aca="false">H12*$B$6*12-C12</f>
        <v>121484.426624478</v>
      </c>
      <c r="K12" s="10" t="n">
        <f aca="false">J12-I12</f>
        <v>24116.8745255046</v>
      </c>
      <c r="L12" s="10" t="n">
        <f aca="false">G12*$B$6*12</f>
        <v>186767.824098973</v>
      </c>
      <c r="M12" s="10" t="n">
        <f aca="false">H12*$B$6*12</f>
        <v>240052.426624478</v>
      </c>
    </row>
    <row r="13" customFormat="false" ht="15" hidden="false" customHeight="false" outlineLevel="0" collapsed="false">
      <c r="A13" s="4" t="s">
        <v>22</v>
      </c>
      <c r="B13" s="9" t="n">
        <v>51642</v>
      </c>
      <c r="C13" s="10" t="n">
        <f aca="false">B13*$B$7</f>
        <v>206568</v>
      </c>
      <c r="D13" s="10" t="n">
        <f aca="false">$B$5*B13*($B$7*($B$7+1)/2)</f>
        <v>50815.728</v>
      </c>
      <c r="E13" s="10" t="n">
        <f aca="false">B13*((1+$B$8)^(12*$B$7)+(1+$B$8)^(12*($B$7-1))+(1+$B$8)^(12*($B$7-2))+(1+$B$8)^(12*($B$7-3)))</f>
        <v>265501.56539109</v>
      </c>
      <c r="F13" s="10" t="n">
        <f aca="false">E13-C13</f>
        <v>58933.5653910899</v>
      </c>
      <c r="G13" s="10" t="n">
        <f aca="false">C13*($B$8*(1+$B$8)^($B$6*12))/((1+$B$8)^($B$6*12)-1)</f>
        <v>2711.54217330117</v>
      </c>
      <c r="H13" s="10" t="n">
        <f aca="false">E13*($B$8*(1+$B$8)^($B$6*12))/((1+$B$8)^($B$6*12)-1)</f>
        <v>3485.14141413684</v>
      </c>
      <c r="I13" s="10" t="n">
        <f aca="false">D13+(G13*$B$6*12-C13)</f>
        <v>169632.78879614</v>
      </c>
      <c r="J13" s="10" t="n">
        <f aca="false">H13*$B$6*12-C13</f>
        <v>211648.96969642</v>
      </c>
      <c r="K13" s="10" t="n">
        <f aca="false">J13-I13</f>
        <v>42016.1809002803</v>
      </c>
      <c r="L13" s="10" t="n">
        <f aca="false">G13*$B$6*12</f>
        <v>325385.06079614</v>
      </c>
      <c r="M13" s="10" t="n">
        <f aca="false">H13*$B$6*12</f>
        <v>418216.96969642</v>
      </c>
    </row>
    <row r="14" customFormat="false" ht="15" hidden="false" customHeight="false" outlineLevel="0" collapsed="false">
      <c r="A14" s="4" t="s">
        <v>23</v>
      </c>
      <c r="B14" s="9" t="n">
        <v>100000</v>
      </c>
      <c r="C14" s="10" t="n">
        <f aca="false">B14*$B$7</f>
        <v>400000</v>
      </c>
      <c r="D14" s="10" t="n">
        <f aca="false">$B$5*B14*($B$7*($B$7+1)/2)</f>
        <v>98400</v>
      </c>
      <c r="E14" s="10" t="n">
        <f aca="false">B14*((1+$B$8)^(12*$B$7)+(1+$B$8)^(12*($B$7-1))+(1+$B$8)^(12*($B$7-2))+(1+$B$8)^(12*($B$7-3)))</f>
        <v>514119.448106367</v>
      </c>
      <c r="F14" s="10" t="n">
        <f aca="false">E14-C14</f>
        <v>114119.448106367</v>
      </c>
      <c r="G14" s="10" t="n">
        <f aca="false">C14*($B$8*(1+$B$8)^($B$6*12))/((1+$B$8)^($B$6*12)-1)</f>
        <v>5250.65290519571</v>
      </c>
      <c r="H14" s="10" t="n">
        <f aca="false">E14*($B$8*(1+$B$8)^($B$6*12))/((1+$B$8)^($B$6*12)-1)</f>
        <v>6748.65693454327</v>
      </c>
      <c r="I14" s="10" t="n">
        <f aca="false">D14+(G14*$B$6*12-C14)</f>
        <v>328478.348623485</v>
      </c>
      <c r="J14" s="10" t="n">
        <f aca="false">H14*$B$6*12-C14</f>
        <v>409838.832145193</v>
      </c>
      <c r="K14" s="10" t="n">
        <f aca="false">J14-I14</f>
        <v>81360.4835217076</v>
      </c>
      <c r="L14" s="10" t="n">
        <f aca="false">G14*$B$6*12</f>
        <v>630078.348623485</v>
      </c>
      <c r="M14" s="10" t="n">
        <f aca="false">H14*$B$6*12</f>
        <v>809838.832145193</v>
      </c>
    </row>
    <row r="16" customFormat="false" ht="15" hidden="false" customHeight="false" outlineLevel="0" collapsed="false">
      <c r="A16" s="11" t="s">
        <v>24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customFormat="false" ht="15" hidden="false" customHeight="false" outlineLevel="0" collapsed="false">
      <c r="A17" s="11" t="s">
        <v>25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customFormat="false" ht="15" hidden="false" customHeight="false" outlineLevel="0" collapsed="false">
      <c r="A18" s="11" t="s">
        <v>26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customFormat="false" ht="15" hidden="false" customHeight="false" outlineLevel="0" collapsed="false">
      <c r="A19" s="11" t="s">
        <v>27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customFormat="false" ht="15" hidden="false" customHeight="false" outlineLevel="0" collapsed="false">
      <c r="A20" s="11" t="s">
        <v>28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</row>
  </sheetData>
  <mergeCells count="5">
    <mergeCell ref="A16:K16"/>
    <mergeCell ref="A17:K17"/>
    <mergeCell ref="A18:K18"/>
    <mergeCell ref="A19:K19"/>
    <mergeCell ref="A20:K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2026-08-17T19:04:38Z</dcterms:created>
  <dc:creator>openpyxl</dc:creator>
  <dc:description/>
  <dc:language>en-US</dc:language>
  <cp:lastModifiedBy/>
  <dcterms:modified xsi:type="dcterms:W3CDTF">2026-08-17T19:04:38Z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